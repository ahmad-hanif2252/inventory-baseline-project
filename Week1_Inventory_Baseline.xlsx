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890" windowHeight="7020"/>
  </bookViews>
  <sheets>
    <sheet name="Inventory Master" sheetId="1" r:id="rId1"/>
    <sheet name="Category Summary" sheetId="2" r:id="rId2"/>
    <sheet name="Category Baselines" sheetId="3" r:id="rId3"/>
    <sheet name="Methodology &amp; Sources" sheetId="4" r:id="rId4"/>
  </sheets>
  <definedNames>
    <definedName name="_xlnm._FilterDatabase" localSheetId="0" hidden="1">'Inventory Master'!$A$1:$L$31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<sst xmlns="http://schemas.openxmlformats.org/spreadsheetml/2006/main" count="301" uniqueCount="188">
  <si>
    <t>SKU</t>
  </si>
  <si>
    <t>Material Name</t>
  </si>
  <si>
    <t>Category</t>
  </si>
  <si>
    <t>Unit</t>
  </si>
  <si>
    <t>Opening Stock</t>
  </si>
  <si>
    <t>Reorder Level</t>
  </si>
  <si>
    <t>Storage Location</t>
  </si>
  <si>
    <t>Supplier</t>
  </si>
  <si>
    <t>Lead Time (Days)</t>
  </si>
  <si>
    <t>Item Type</t>
  </si>
  <si>
    <t>Stock Status</t>
  </si>
  <si>
    <t>Baseline Notes</t>
  </si>
  <si>
    <t>MAT001</t>
  </si>
  <si>
    <t>Ball Bearing 6003RS</t>
  </si>
  <si>
    <t>Bearings</t>
  </si>
  <si>
    <t>PCS</t>
  </si>
  <si>
    <t>A-01</t>
  </si>
  <si>
    <t>Supplier A</t>
  </si>
  <si>
    <t>Critical spare</t>
  </si>
  <si>
    <t>MAT002</t>
  </si>
  <si>
    <t>Ball Bearing 6206Z</t>
  </si>
  <si>
    <t>A-02</t>
  </si>
  <si>
    <t>MAT003</t>
  </si>
  <si>
    <t>Ball Bearing 6204ZZ</t>
  </si>
  <si>
    <t>A-03</t>
  </si>
  <si>
    <t>Standard spare</t>
  </si>
  <si>
    <t>MAT004</t>
  </si>
  <si>
    <t>Taper Roller Bearing 30205</t>
  </si>
  <si>
    <t>A-04</t>
  </si>
  <si>
    <t>MAT005</t>
  </si>
  <si>
    <t>Deep Groove Bearing 6305</t>
  </si>
  <si>
    <t>A-05</t>
  </si>
  <si>
    <t>MAT006</t>
  </si>
  <si>
    <t>Hydraulic Oil ISO 46</t>
  </si>
  <si>
    <t>Lubricants</t>
  </si>
  <si>
    <t>LTR</t>
  </si>
  <si>
    <t>B-01</t>
  </si>
  <si>
    <t>Supplier B</t>
  </si>
  <si>
    <t>Equipment consumable</t>
  </si>
  <si>
    <t>MAT007</t>
  </si>
  <si>
    <t>Engine Oil 15W-40</t>
  </si>
  <si>
    <t>B-02</t>
  </si>
  <si>
    <t>MAT008</t>
  </si>
  <si>
    <t>Gear Oil 220</t>
  </si>
  <si>
    <t>B-03</t>
  </si>
  <si>
    <t>MAT009</t>
  </si>
  <si>
    <t>Grease EP2</t>
  </si>
  <si>
    <t>KG</t>
  </si>
  <si>
    <t>B-04</t>
  </si>
  <si>
    <t>MAT010</t>
  </si>
  <si>
    <t>Coolant Concentrate</t>
  </si>
  <si>
    <t>B-05</t>
  </si>
  <si>
    <t>MAT011</t>
  </si>
  <si>
    <t>Electrical Cable 2.5mm</t>
  </si>
  <si>
    <t>Electrical</t>
  </si>
  <si>
    <t>MTR</t>
  </si>
  <si>
    <t>C-01</t>
  </si>
  <si>
    <t>Supplier C</t>
  </si>
  <si>
    <t>Electrical supply</t>
  </si>
  <si>
    <t>MAT012</t>
  </si>
  <si>
    <t>LED Bulb 20W</t>
  </si>
  <si>
    <t>C-02</t>
  </si>
  <si>
    <t>MAT013</t>
  </si>
  <si>
    <t>MCB 16A</t>
  </si>
  <si>
    <t>C-03</t>
  </si>
  <si>
    <t>MAT014</t>
  </si>
  <si>
    <t>Industrial Plug 16A</t>
  </si>
  <si>
    <t>C-04</t>
  </si>
  <si>
    <t>MAT015</t>
  </si>
  <si>
    <t>Cable Tie 200mm</t>
  </si>
  <si>
    <t>PACK</t>
  </si>
  <si>
    <t>C-05</t>
  </si>
  <si>
    <t>MAT016</t>
  </si>
  <si>
    <t>Packing Tape 48mm</t>
  </si>
  <si>
    <t>Packing</t>
  </si>
  <si>
    <t>ROLL</t>
  </si>
  <si>
    <t>D-01</t>
  </si>
  <si>
    <t>Supplier D</t>
  </si>
  <si>
    <t>Packing material</t>
  </si>
  <si>
    <t>MAT017</t>
  </si>
  <si>
    <t>Carton Box Medium</t>
  </si>
  <si>
    <t>D-02</t>
  </si>
  <si>
    <t>MAT018</t>
  </si>
  <si>
    <t>Stretch Film 500mm</t>
  </si>
  <si>
    <t>D-03</t>
  </si>
  <si>
    <t>MAT019</t>
  </si>
  <si>
    <t>Bubble Wrap</t>
  </si>
  <si>
    <t>D-04</t>
  </si>
  <si>
    <t>MAT020</t>
  </si>
  <si>
    <t>Strapping Band</t>
  </si>
  <si>
    <t>D-05</t>
  </si>
  <si>
    <t>MAT021</t>
  </si>
  <si>
    <t>Safety Gloves</t>
  </si>
  <si>
    <t>Safety</t>
  </si>
  <si>
    <t>PAIR</t>
  </si>
  <si>
    <t>E-01</t>
  </si>
  <si>
    <t>Supplier E</t>
  </si>
  <si>
    <t>PPE</t>
  </si>
  <si>
    <t>MAT022</t>
  </si>
  <si>
    <t>Safety Helmet</t>
  </si>
  <si>
    <t>E-02</t>
  </si>
  <si>
    <t>MAT023</t>
  </si>
  <si>
    <t>Safety Goggles</t>
  </si>
  <si>
    <t>E-03</t>
  </si>
  <si>
    <t>MAT024</t>
  </si>
  <si>
    <t>Reflective Vest</t>
  </si>
  <si>
    <t>E-04</t>
  </si>
  <si>
    <t>MAT025</t>
  </si>
  <si>
    <t>Ear Plugs</t>
  </si>
  <si>
    <t>E-05</t>
  </si>
  <si>
    <t>MAT026</t>
  </si>
  <si>
    <t>Hand Cleaner 5L</t>
  </si>
  <si>
    <t>Cleaning</t>
  </si>
  <si>
    <t>CAN</t>
  </si>
  <si>
    <t>F-01</t>
  </si>
  <si>
    <t>Supplier F</t>
  </si>
  <si>
    <t>Cleaning supply</t>
  </si>
  <si>
    <t>MAT027</t>
  </si>
  <si>
    <t>Floor Cleaner 5L</t>
  </si>
  <si>
    <t>F-02</t>
  </si>
  <si>
    <t>MAT028</t>
  </si>
  <si>
    <t>Printer Paper A4</t>
  </si>
  <si>
    <t>Office Supplies</t>
  </si>
  <si>
    <t>REAM</t>
  </si>
  <si>
    <t>G-01</t>
  </si>
  <si>
    <t>Supplier G</t>
  </si>
  <si>
    <t>Office consumable</t>
  </si>
  <si>
    <t>MAT029</t>
  </si>
  <si>
    <t>Permanent Marker</t>
  </si>
  <si>
    <t>G-02</t>
  </si>
  <si>
    <t>MAT030</t>
  </si>
  <si>
    <t>Thermal Label Roll</t>
  </si>
  <si>
    <t>G-03</t>
  </si>
  <si>
    <t>Labeling supply</t>
  </si>
  <si>
    <t>Number of SKUs</t>
  </si>
  <si>
    <t>Total Opening Stock (mixed units)</t>
  </si>
  <si>
    <t>Items At/Below Reorder</t>
  </si>
  <si>
    <t>Interpretation</t>
  </si>
  <si>
    <t>Quantities must be interpreted using each item's unit of measure.</t>
  </si>
  <si>
    <t>Important note</t>
  </si>
  <si>
    <t>Total Opening Stock combines different units (PCS, LTR, MTR, etc.) and is only a count of entered quantities, not a meaningful single-unit total.</t>
  </si>
  <si>
    <t>Baseline Definition</t>
  </si>
  <si>
    <t>Initial Stock Policy</t>
  </si>
  <si>
    <t>Reorder Threshold Rationale</t>
  </si>
  <si>
    <t>Review Frequency</t>
  </si>
  <si>
    <t>Opening quantities recorded by SKU and bin location.</t>
  </si>
  <si>
    <t>Maintain a small buffer for maintenance-critical sizes.</t>
  </si>
  <si>
    <t>Training threshold set at item level; revise using usage and supplier lead time.</t>
  </si>
  <si>
    <t>Monthly; critical items more often</t>
  </si>
  <si>
    <t>Record by product and unit (LTR/KG/CAN).</t>
  </si>
  <si>
    <t>Avoid stockout of commonly used lubricants; store according to product instructions.</t>
  </si>
  <si>
    <t>Thresholds are simulated and should reflect average consumption plus replenishment lead time.</t>
  </si>
  <si>
    <t>Monthly</t>
  </si>
  <si>
    <t>Track cables and components separately by unit/pack.</t>
  </si>
  <si>
    <t>Keep commonly used repair supplies available.</t>
  </si>
  <si>
    <t>Set threshold from assumed use and lead time; validate against issue history.</t>
  </si>
  <si>
    <t>Track boxes, tape, film and bands in their own units.</t>
  </si>
  <si>
    <t>Use higher quantities for frequent packing consumables.</t>
  </si>
  <si>
    <t>Thresholds reflect assumed regular use; adjust for order volume and seasonality.</t>
  </si>
  <si>
    <t>Weekly or monthly</t>
  </si>
  <si>
    <t>PPE items tracked by piece/pair and location.</t>
  </si>
  <si>
    <t>Maintain availability for staff safety; do not rely only on price or volume.</t>
  </si>
  <si>
    <t>Thresholds are provisional; consider staff count, replacement rate and minimum safety requirements.</t>
  </si>
  <si>
    <t>Weekly</t>
  </si>
  <si>
    <t>Cleaning consumables recorded by can/unit.</t>
  </si>
  <si>
    <t>Keep sufficient supply for routine cleaning.</t>
  </si>
  <si>
    <t>Review based on consumption pattern and supplier lead time.</t>
  </si>
  <si>
    <t>Office and labeling materials tracked by unit.</t>
  </si>
  <si>
    <t>Maintain routine operational supplies without excessive stock.</t>
  </si>
  <si>
    <t>Thresholds are provisional estimates for the simulation.</t>
  </si>
  <si>
    <t>Section</t>
  </si>
  <si>
    <t>Details</t>
  </si>
  <si>
    <t>Business context</t>
  </si>
  <si>
    <t>Hypothetical general warehouse supplying maintenance materials, packing consumables, electrical items, cleaning supplies and PPE.</t>
  </si>
  <si>
    <t>Data status</t>
  </si>
  <si>
    <t>All SKU records, stock quantities, locations, supplier names, lead times and reorder thresholds in this workbook are simulated for training. They are not actual company records.</t>
  </si>
  <si>
    <t>Data collection approach</t>
  </si>
  <si>
    <t>Created a structured master list; assigned unique SKU codes; grouped materials by practical storage/use category; selected consistent units of measure; assigned sample bin locations and suppliers.</t>
  </si>
  <si>
    <t>Reorder threshold method</t>
  </si>
  <si>
    <t>Initial thresholds are illustrative values chosen for the simulation. A live operation should calculate reorder point from average demand during lead time plus safety stock, and validate it with historical usage and supplier reliability.</t>
  </si>
  <si>
    <t>Categorization principle</t>
  </si>
  <si>
    <t>Operational categories are used for locating and managing materials. ABC analysis is a separate value-prioritization method and cannot be accurately calculated here without unit costs and annual consumption/usage data.</t>
  </si>
  <si>
    <t>Data controls</t>
  </si>
  <si>
    <t>Unique SKU for each row; one primary unit per item; explicit storage location; filterable table; formulas for stock status; category summary formulas.</t>
  </si>
  <si>
    <t>Known limitations</t>
  </si>
  <si>
    <t>No real stock count, purchase history, supplier quotations, annual usage, unit cost, expiry data or validated lead times were provided. No claim is made that the simulated thresholds are an industry standard.</t>
  </si>
  <si>
    <t>Recommended next data to collect</t>
  </si>
  <si>
    <t>Physical count date; average daily/weekly issue quantity; supplier lead-time history; unit cost; criticality; expiry/batch where applicable; minimum order quantity.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</si>
</sst>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Calibri"/>
      <charset val="134"/>
      <scheme val="minor"/>
    </font>
    <font>
      <b/>
      <sz val="11"/>
      <color rgb="FF17365D"/>
      <name val="Calibri"/>
      <charset val="134"/>
      <scheme val="minor"/>
    </font>
    <font>
      <i/>
      <sz val="9"/>
      <color rgb="FF666666"/>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7365D"/>
        <bgColor indexed="64"/>
      </patternFill>
    </fill>
    <fill>
      <patternFill patternType="solid">
        <fgColor rgb="FFF3F6FA"/>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4">
    <xf numFmtId="0" fontId="0" fillId="0" borderId="0" xfId="0"/>
    <xf numFmtId="0" fontId="1" fillId="2" borderId="0" xfId="0" applyFont="1" applyFill="1" applyAlignment="1">
      <alignment horizontal="center"/>
    </xf>
    <xf numFmtId="0" fontId="2" fillId="3" borderId="0" xfId="0" applyFont="1" applyFill="1"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0" xfId="0" applyFont="1" applyFill="1" applyAlignment="1">
      <alignment horizontal="center" wrapText="1"/>
    </xf>
    <xf numFmtId="0" fontId="0" fillId="3" borderId="0" xfId="0" applyFill="1" applyAlignment="1">
      <alignment vertical="center" wrapText="1"/>
    </xf>
    <xf numFmtId="0" fontId="0" fillId="0" borderId="0" xfId="0" applyAlignment="1">
      <alignment vertical="center" wrapText="1"/>
    </xf>
    <xf numFmtId="0" fontId="2" fillId="0" borderId="0" xfId="0" applyFont="1"/>
    <xf numFmtId="0" fontId="1" fillId="2" borderId="0" xfId="0" applyFont="1" applyFill="1" applyAlignment="1">
      <alignment horizontal="center" vertical="center" wrapText="1"/>
    </xf>
    <xf numFmtId="0" fontId="0" fillId="4" borderId="0" xfId="0" applyFill="1" applyAlignment="1">
      <alignment vertical="center" wrapText="1"/>
    </xf>
    <xf numFmtId="0" fontId="3" fillId="3" borderId="0" xfId="0" applyFont="1" applyFill="1" applyAlignment="1">
      <alignment vertical="center" wrapText="1"/>
    </xf>
    <xf numFmtId="0" fontId="3"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1"/>
  <sheetViews>
    <sheetView showGridLines="0" tabSelected="1" topLeftCell="B1" workbookViewId="0">
      <pane ySplit="1" topLeftCell="A2" activePane="bottomLeft" state="frozen"/>
      <selection/>
      <selection pane="bottomLeft" activeCell="F4" sqref="F4"/>
    </sheetView>
  </sheetViews>
  <sheetFormatPr defaultColWidth="9" defaultRowHeight="15"/>
  <cols>
    <col min="1" max="1" width="13" customWidth="1"/>
    <col min="2" max="2" width="30" customWidth="1"/>
    <col min="3" max="3" width="19" customWidth="1"/>
    <col min="4" max="4" width="12" customWidth="1"/>
    <col min="5" max="6" width="15" customWidth="1"/>
    <col min="7" max="7" width="18" customWidth="1"/>
    <col min="8" max="8" width="17" customWidth="1"/>
    <col min="9" max="9" width="16" customWidth="1"/>
    <col min="10" max="10" width="22" customWidth="1"/>
    <col min="11" max="11" width="20" customWidth="1"/>
    <col min="12" max="12" width="23" customWidth="1"/>
  </cols>
  <sheetData>
    <row r="1" ht="32" customHeight="1" spans="1:12">
      <c r="A1" s="10" t="s">
        <v>0</v>
      </c>
      <c r="B1" s="10" t="s">
        <v>1</v>
      </c>
      <c r="C1" s="10" t="s">
        <v>2</v>
      </c>
      <c r="D1" s="10" t="s">
        <v>3</v>
      </c>
      <c r="E1" s="10" t="s">
        <v>4</v>
      </c>
      <c r="F1" s="10" t="s">
        <v>5</v>
      </c>
      <c r="G1" s="10" t="s">
        <v>6</v>
      </c>
      <c r="H1" s="10" t="s">
        <v>7</v>
      </c>
      <c r="I1" s="10" t="s">
        <v>8</v>
      </c>
      <c r="J1" s="10" t="s">
        <v>9</v>
      </c>
      <c r="K1" s="10" t="s">
        <v>10</v>
      </c>
      <c r="L1" s="10" t="s">
        <v>11</v>
      </c>
    </row>
    <row r="2" spans="1:12">
      <c r="A2" s="7" t="s">
        <v>12</v>
      </c>
      <c r="B2" s="7" t="s">
        <v>13</v>
      </c>
      <c r="C2" s="7" t="s">
        <v>14</v>
      </c>
      <c r="D2" s="7" t="s">
        <v>15</v>
      </c>
      <c r="E2" s="7">
        <v>50</v>
      </c>
      <c r="F2" s="7">
        <v>15</v>
      </c>
      <c r="G2" s="7" t="s">
        <v>16</v>
      </c>
      <c r="H2" s="7" t="s">
        <v>17</v>
      </c>
      <c r="I2" s="7">
        <v>7</v>
      </c>
      <c r="J2" s="7" t="s">
        <v>18</v>
      </c>
      <c r="K2" s="11" t="str">
        <f t="shared" ref="K2:K31" si="0">IF(E2&lt;=F2,"REORDER REVIEW","OK")</f>
        <v>OK</v>
      </c>
      <c r="L2" s="12" t="str">
        <f t="shared" ref="L2:L31" si="1">IF(E2&lt;=F2,"At/below threshold","Above threshold")</f>
        <v>Above threshold</v>
      </c>
    </row>
    <row r="3" spans="1:12">
      <c r="A3" s="8" t="s">
        <v>19</v>
      </c>
      <c r="B3" s="8" t="s">
        <v>20</v>
      </c>
      <c r="C3" s="8" t="s">
        <v>14</v>
      </c>
      <c r="D3" s="8" t="s">
        <v>15</v>
      </c>
      <c r="E3" s="8">
        <v>30</v>
      </c>
      <c r="F3" s="8">
        <v>10</v>
      </c>
      <c r="G3" s="8" t="s">
        <v>21</v>
      </c>
      <c r="H3" s="8" t="s">
        <v>17</v>
      </c>
      <c r="I3" s="8">
        <v>7</v>
      </c>
      <c r="J3" s="8" t="s">
        <v>18</v>
      </c>
      <c r="K3" s="11" t="str">
        <f t="shared" si="0"/>
        <v>OK</v>
      </c>
      <c r="L3" s="13" t="str">
        <f t="shared" si="1"/>
        <v>Above threshold</v>
      </c>
    </row>
    <row r="4" spans="1:12">
      <c r="A4" s="7" t="s">
        <v>22</v>
      </c>
      <c r="B4" s="7" t="s">
        <v>23</v>
      </c>
      <c r="C4" s="7" t="s">
        <v>14</v>
      </c>
      <c r="D4" s="7" t="s">
        <v>15</v>
      </c>
      <c r="E4" s="7">
        <v>42</v>
      </c>
      <c r="F4" s="7">
        <v>12</v>
      </c>
      <c r="G4" s="7" t="s">
        <v>24</v>
      </c>
      <c r="H4" s="7" t="s">
        <v>17</v>
      </c>
      <c r="I4" s="7">
        <v>7</v>
      </c>
      <c r="J4" s="7" t="s">
        <v>25</v>
      </c>
      <c r="K4" s="11" t="str">
        <f t="shared" si="0"/>
        <v>OK</v>
      </c>
      <c r="L4" s="12" t="str">
        <f t="shared" si="1"/>
        <v>Above threshold</v>
      </c>
    </row>
    <row r="5" spans="1:12">
      <c r="A5" s="8" t="s">
        <v>26</v>
      </c>
      <c r="B5" s="8" t="s">
        <v>27</v>
      </c>
      <c r="C5" s="8" t="s">
        <v>14</v>
      </c>
      <c r="D5" s="8" t="s">
        <v>15</v>
      </c>
      <c r="E5" s="8">
        <v>24</v>
      </c>
      <c r="F5" s="8">
        <v>8</v>
      </c>
      <c r="G5" s="8" t="s">
        <v>28</v>
      </c>
      <c r="H5" s="8" t="s">
        <v>17</v>
      </c>
      <c r="I5" s="8">
        <v>10</v>
      </c>
      <c r="J5" s="8" t="s">
        <v>25</v>
      </c>
      <c r="K5" s="11" t="str">
        <f t="shared" si="0"/>
        <v>OK</v>
      </c>
      <c r="L5" s="13" t="str">
        <f t="shared" si="1"/>
        <v>Above threshold</v>
      </c>
    </row>
    <row r="6" spans="1:12">
      <c r="A6" s="7" t="s">
        <v>29</v>
      </c>
      <c r="B6" s="7" t="s">
        <v>30</v>
      </c>
      <c r="C6" s="7" t="s">
        <v>14</v>
      </c>
      <c r="D6" s="7" t="s">
        <v>15</v>
      </c>
      <c r="E6" s="7">
        <v>20</v>
      </c>
      <c r="F6" s="7">
        <v>6</v>
      </c>
      <c r="G6" s="7" t="s">
        <v>31</v>
      </c>
      <c r="H6" s="7" t="s">
        <v>17</v>
      </c>
      <c r="I6" s="7">
        <v>10</v>
      </c>
      <c r="J6" s="7" t="s">
        <v>25</v>
      </c>
      <c r="K6" s="11" t="str">
        <f t="shared" si="0"/>
        <v>OK</v>
      </c>
      <c r="L6" s="12" t="str">
        <f t="shared" si="1"/>
        <v>Above threshold</v>
      </c>
    </row>
    <row r="7" spans="1:12">
      <c r="A7" s="8" t="s">
        <v>32</v>
      </c>
      <c r="B7" s="8" t="s">
        <v>33</v>
      </c>
      <c r="C7" s="8" t="s">
        <v>34</v>
      </c>
      <c r="D7" s="8" t="s">
        <v>35</v>
      </c>
      <c r="E7" s="8">
        <v>80</v>
      </c>
      <c r="F7" s="8">
        <v>20</v>
      </c>
      <c r="G7" s="8" t="s">
        <v>36</v>
      </c>
      <c r="H7" s="8" t="s">
        <v>37</v>
      </c>
      <c r="I7" s="8">
        <v>5</v>
      </c>
      <c r="J7" s="8" t="s">
        <v>38</v>
      </c>
      <c r="K7" s="11" t="str">
        <f t="shared" si="0"/>
        <v>OK</v>
      </c>
      <c r="L7" s="13" t="str">
        <f t="shared" si="1"/>
        <v>Above threshold</v>
      </c>
    </row>
    <row r="8" spans="1:12">
      <c r="A8" s="7" t="s">
        <v>39</v>
      </c>
      <c r="B8" s="7" t="s">
        <v>40</v>
      </c>
      <c r="C8" s="7" t="s">
        <v>34</v>
      </c>
      <c r="D8" s="7" t="s">
        <v>35</v>
      </c>
      <c r="E8" s="7">
        <v>60</v>
      </c>
      <c r="F8" s="7">
        <v>15</v>
      </c>
      <c r="G8" s="7" t="s">
        <v>41</v>
      </c>
      <c r="H8" s="7" t="s">
        <v>37</v>
      </c>
      <c r="I8" s="7">
        <v>5</v>
      </c>
      <c r="J8" s="7" t="s">
        <v>38</v>
      </c>
      <c r="K8" s="11" t="str">
        <f t="shared" si="0"/>
        <v>OK</v>
      </c>
      <c r="L8" s="12" t="str">
        <f t="shared" si="1"/>
        <v>Above threshold</v>
      </c>
    </row>
    <row r="9" spans="1:12">
      <c r="A9" s="8" t="s">
        <v>42</v>
      </c>
      <c r="B9" s="8" t="s">
        <v>43</v>
      </c>
      <c r="C9" s="8" t="s">
        <v>34</v>
      </c>
      <c r="D9" s="8" t="s">
        <v>35</v>
      </c>
      <c r="E9" s="8">
        <v>45</v>
      </c>
      <c r="F9" s="8">
        <v>12</v>
      </c>
      <c r="G9" s="8" t="s">
        <v>44</v>
      </c>
      <c r="H9" s="8" t="s">
        <v>37</v>
      </c>
      <c r="I9" s="8">
        <v>7</v>
      </c>
      <c r="J9" s="8" t="s">
        <v>38</v>
      </c>
      <c r="K9" s="11" t="str">
        <f t="shared" si="0"/>
        <v>OK</v>
      </c>
      <c r="L9" s="13" t="str">
        <f t="shared" si="1"/>
        <v>Above threshold</v>
      </c>
    </row>
    <row r="10" spans="1:12">
      <c r="A10" s="7" t="s">
        <v>45</v>
      </c>
      <c r="B10" s="7" t="s">
        <v>46</v>
      </c>
      <c r="C10" s="7" t="s">
        <v>34</v>
      </c>
      <c r="D10" s="7" t="s">
        <v>47</v>
      </c>
      <c r="E10" s="7">
        <v>35</v>
      </c>
      <c r="F10" s="7">
        <v>10</v>
      </c>
      <c r="G10" s="7" t="s">
        <v>48</v>
      </c>
      <c r="H10" s="7" t="s">
        <v>37</v>
      </c>
      <c r="I10" s="7">
        <v>5</v>
      </c>
      <c r="J10" s="7" t="s">
        <v>38</v>
      </c>
      <c r="K10" s="11" t="str">
        <f t="shared" si="0"/>
        <v>OK</v>
      </c>
      <c r="L10" s="12" t="str">
        <f t="shared" si="1"/>
        <v>Above threshold</v>
      </c>
    </row>
    <row r="11" spans="1:12">
      <c r="A11" s="8" t="s">
        <v>49</v>
      </c>
      <c r="B11" s="8" t="s">
        <v>50</v>
      </c>
      <c r="C11" s="8" t="s">
        <v>34</v>
      </c>
      <c r="D11" s="8" t="s">
        <v>35</v>
      </c>
      <c r="E11" s="8">
        <v>28</v>
      </c>
      <c r="F11" s="8">
        <v>8</v>
      </c>
      <c r="G11" s="8" t="s">
        <v>51</v>
      </c>
      <c r="H11" s="8" t="s">
        <v>37</v>
      </c>
      <c r="I11" s="8">
        <v>7</v>
      </c>
      <c r="J11" s="8" t="s">
        <v>38</v>
      </c>
      <c r="K11" s="11" t="str">
        <f t="shared" si="0"/>
        <v>OK</v>
      </c>
      <c r="L11" s="13" t="str">
        <f t="shared" si="1"/>
        <v>Above threshold</v>
      </c>
    </row>
    <row r="12" spans="1:12">
      <c r="A12" s="7" t="s">
        <v>52</v>
      </c>
      <c r="B12" s="7" t="s">
        <v>53</v>
      </c>
      <c r="C12" s="7" t="s">
        <v>54</v>
      </c>
      <c r="D12" s="7" t="s">
        <v>55</v>
      </c>
      <c r="E12" s="7">
        <v>200</v>
      </c>
      <c r="F12" s="7">
        <v>50</v>
      </c>
      <c r="G12" s="7" t="s">
        <v>56</v>
      </c>
      <c r="H12" s="7" t="s">
        <v>57</v>
      </c>
      <c r="I12" s="7">
        <v>7</v>
      </c>
      <c r="J12" s="7" t="s">
        <v>58</v>
      </c>
      <c r="K12" s="11" t="str">
        <f t="shared" si="0"/>
        <v>OK</v>
      </c>
      <c r="L12" s="12" t="str">
        <f t="shared" si="1"/>
        <v>Above threshold</v>
      </c>
    </row>
    <row r="13" spans="1:12">
      <c r="A13" s="8" t="s">
        <v>59</v>
      </c>
      <c r="B13" s="8" t="s">
        <v>60</v>
      </c>
      <c r="C13" s="8" t="s">
        <v>54</v>
      </c>
      <c r="D13" s="8" t="s">
        <v>15</v>
      </c>
      <c r="E13" s="8">
        <v>100</v>
      </c>
      <c r="F13" s="8">
        <v>25</v>
      </c>
      <c r="G13" s="8" t="s">
        <v>61</v>
      </c>
      <c r="H13" s="8" t="s">
        <v>57</v>
      </c>
      <c r="I13" s="8">
        <v>5</v>
      </c>
      <c r="J13" s="8" t="s">
        <v>58</v>
      </c>
      <c r="K13" s="11" t="str">
        <f t="shared" si="0"/>
        <v>OK</v>
      </c>
      <c r="L13" s="13" t="str">
        <f t="shared" si="1"/>
        <v>Above threshold</v>
      </c>
    </row>
    <row r="14" spans="1:12">
      <c r="A14" s="7" t="s">
        <v>62</v>
      </c>
      <c r="B14" s="7" t="s">
        <v>63</v>
      </c>
      <c r="C14" s="7" t="s">
        <v>54</v>
      </c>
      <c r="D14" s="7" t="s">
        <v>15</v>
      </c>
      <c r="E14" s="7">
        <v>11</v>
      </c>
      <c r="F14" s="7">
        <v>10</v>
      </c>
      <c r="G14" s="7" t="s">
        <v>64</v>
      </c>
      <c r="H14" s="7" t="s">
        <v>57</v>
      </c>
      <c r="I14" s="7">
        <v>7</v>
      </c>
      <c r="J14" s="7" t="s">
        <v>58</v>
      </c>
      <c r="K14" s="11" t="str">
        <f t="shared" si="0"/>
        <v>OK</v>
      </c>
      <c r="L14" s="12" t="str">
        <f t="shared" si="1"/>
        <v>Above threshold</v>
      </c>
    </row>
    <row r="15" spans="1:12">
      <c r="A15" s="8" t="s">
        <v>65</v>
      </c>
      <c r="B15" s="8" t="s">
        <v>66</v>
      </c>
      <c r="C15" s="8" t="s">
        <v>54</v>
      </c>
      <c r="D15" s="8" t="s">
        <v>15</v>
      </c>
      <c r="E15" s="8">
        <v>32</v>
      </c>
      <c r="F15" s="8">
        <v>8</v>
      </c>
      <c r="G15" s="8" t="s">
        <v>67</v>
      </c>
      <c r="H15" s="8" t="s">
        <v>57</v>
      </c>
      <c r="I15" s="8">
        <v>7</v>
      </c>
      <c r="J15" s="8" t="s">
        <v>58</v>
      </c>
      <c r="K15" s="11" t="str">
        <f t="shared" si="0"/>
        <v>OK</v>
      </c>
      <c r="L15" s="13" t="str">
        <f t="shared" si="1"/>
        <v>Above threshold</v>
      </c>
    </row>
    <row r="16" spans="1:12">
      <c r="A16" s="7" t="s">
        <v>68</v>
      </c>
      <c r="B16" s="7" t="s">
        <v>69</v>
      </c>
      <c r="C16" s="7" t="s">
        <v>54</v>
      </c>
      <c r="D16" s="7" t="s">
        <v>70</v>
      </c>
      <c r="E16" s="7">
        <v>25</v>
      </c>
      <c r="F16" s="7">
        <v>8</v>
      </c>
      <c r="G16" s="7" t="s">
        <v>71</v>
      </c>
      <c r="H16" s="7" t="s">
        <v>57</v>
      </c>
      <c r="I16" s="7">
        <v>5</v>
      </c>
      <c r="J16" s="7" t="s">
        <v>58</v>
      </c>
      <c r="K16" s="11" t="str">
        <f t="shared" si="0"/>
        <v>OK</v>
      </c>
      <c r="L16" s="12" t="str">
        <f t="shared" si="1"/>
        <v>Above threshold</v>
      </c>
    </row>
    <row r="17" spans="1:12">
      <c r="A17" s="8" t="s">
        <v>72</v>
      </c>
      <c r="B17" s="8" t="s">
        <v>73</v>
      </c>
      <c r="C17" s="8" t="s">
        <v>74</v>
      </c>
      <c r="D17" s="8" t="s">
        <v>75</v>
      </c>
      <c r="E17" s="8">
        <v>120</v>
      </c>
      <c r="F17" s="8">
        <v>30</v>
      </c>
      <c r="G17" s="8" t="s">
        <v>76</v>
      </c>
      <c r="H17" s="8" t="s">
        <v>77</v>
      </c>
      <c r="I17" s="8">
        <v>3</v>
      </c>
      <c r="J17" s="8" t="s">
        <v>78</v>
      </c>
      <c r="K17" s="11" t="str">
        <f t="shared" si="0"/>
        <v>OK</v>
      </c>
      <c r="L17" s="13" t="str">
        <f t="shared" si="1"/>
        <v>Above threshold</v>
      </c>
    </row>
    <row r="18" spans="1:12">
      <c r="A18" s="7" t="s">
        <v>79</v>
      </c>
      <c r="B18" s="7" t="s">
        <v>80</v>
      </c>
      <c r="C18" s="7" t="s">
        <v>74</v>
      </c>
      <c r="D18" s="7" t="s">
        <v>15</v>
      </c>
      <c r="E18" s="7">
        <v>150</v>
      </c>
      <c r="F18" s="7">
        <v>40</v>
      </c>
      <c r="G18" s="7" t="s">
        <v>81</v>
      </c>
      <c r="H18" s="7" t="s">
        <v>77</v>
      </c>
      <c r="I18" s="7">
        <v>3</v>
      </c>
      <c r="J18" s="7" t="s">
        <v>78</v>
      </c>
      <c r="K18" s="11" t="str">
        <f t="shared" si="0"/>
        <v>OK</v>
      </c>
      <c r="L18" s="12" t="str">
        <f t="shared" si="1"/>
        <v>Above threshold</v>
      </c>
    </row>
    <row r="19" spans="1:12">
      <c r="A19" s="8" t="s">
        <v>82</v>
      </c>
      <c r="B19" s="8" t="s">
        <v>83</v>
      </c>
      <c r="C19" s="8" t="s">
        <v>74</v>
      </c>
      <c r="D19" s="8" t="s">
        <v>75</v>
      </c>
      <c r="E19" s="8">
        <v>55</v>
      </c>
      <c r="F19" s="8">
        <v>15</v>
      </c>
      <c r="G19" s="8" t="s">
        <v>84</v>
      </c>
      <c r="H19" s="8" t="s">
        <v>77</v>
      </c>
      <c r="I19" s="8">
        <v>5</v>
      </c>
      <c r="J19" s="8" t="s">
        <v>78</v>
      </c>
      <c r="K19" s="11" t="str">
        <f t="shared" si="0"/>
        <v>OK</v>
      </c>
      <c r="L19" s="13" t="str">
        <f t="shared" si="1"/>
        <v>Above threshold</v>
      </c>
    </row>
    <row r="20" spans="1:12">
      <c r="A20" s="7" t="s">
        <v>85</v>
      </c>
      <c r="B20" s="7" t="s">
        <v>86</v>
      </c>
      <c r="C20" s="7" t="s">
        <v>74</v>
      </c>
      <c r="D20" s="7" t="s">
        <v>75</v>
      </c>
      <c r="E20" s="7">
        <v>30</v>
      </c>
      <c r="F20" s="7">
        <v>8</v>
      </c>
      <c r="G20" s="7" t="s">
        <v>87</v>
      </c>
      <c r="H20" s="7" t="s">
        <v>77</v>
      </c>
      <c r="I20" s="7">
        <v>5</v>
      </c>
      <c r="J20" s="7" t="s">
        <v>78</v>
      </c>
      <c r="K20" s="11" t="str">
        <f t="shared" si="0"/>
        <v>OK</v>
      </c>
      <c r="L20" s="12" t="str">
        <f t="shared" si="1"/>
        <v>Above threshold</v>
      </c>
    </row>
    <row r="21" spans="1:12">
      <c r="A21" s="8" t="s">
        <v>88</v>
      </c>
      <c r="B21" s="8" t="s">
        <v>89</v>
      </c>
      <c r="C21" s="8" t="s">
        <v>74</v>
      </c>
      <c r="D21" s="8" t="s">
        <v>75</v>
      </c>
      <c r="E21" s="8">
        <v>40</v>
      </c>
      <c r="F21" s="8">
        <v>10</v>
      </c>
      <c r="G21" s="8" t="s">
        <v>90</v>
      </c>
      <c r="H21" s="8" t="s">
        <v>77</v>
      </c>
      <c r="I21" s="8">
        <v>5</v>
      </c>
      <c r="J21" s="8" t="s">
        <v>78</v>
      </c>
      <c r="K21" s="11" t="str">
        <f t="shared" si="0"/>
        <v>OK</v>
      </c>
      <c r="L21" s="13" t="str">
        <f t="shared" si="1"/>
        <v>Above threshold</v>
      </c>
    </row>
    <row r="22" spans="1:12">
      <c r="A22" s="7" t="s">
        <v>91</v>
      </c>
      <c r="B22" s="7" t="s">
        <v>92</v>
      </c>
      <c r="C22" s="7" t="s">
        <v>93</v>
      </c>
      <c r="D22" s="7" t="s">
        <v>94</v>
      </c>
      <c r="E22" s="7">
        <v>75</v>
      </c>
      <c r="F22" s="7">
        <v>20</v>
      </c>
      <c r="G22" s="7" t="s">
        <v>95</v>
      </c>
      <c r="H22" s="7" t="s">
        <v>96</v>
      </c>
      <c r="I22" s="7">
        <v>5</v>
      </c>
      <c r="J22" s="7" t="s">
        <v>97</v>
      </c>
      <c r="K22" s="11" t="str">
        <f t="shared" si="0"/>
        <v>OK</v>
      </c>
      <c r="L22" s="12" t="str">
        <f t="shared" si="1"/>
        <v>Above threshold</v>
      </c>
    </row>
    <row r="23" spans="1:12">
      <c r="A23" s="8" t="s">
        <v>98</v>
      </c>
      <c r="B23" s="8" t="s">
        <v>99</v>
      </c>
      <c r="C23" s="8" t="s">
        <v>93</v>
      </c>
      <c r="D23" s="8" t="s">
        <v>15</v>
      </c>
      <c r="E23" s="8">
        <v>25</v>
      </c>
      <c r="F23" s="8">
        <v>8</v>
      </c>
      <c r="G23" s="8" t="s">
        <v>100</v>
      </c>
      <c r="H23" s="8" t="s">
        <v>96</v>
      </c>
      <c r="I23" s="8">
        <v>7</v>
      </c>
      <c r="J23" s="8" t="s">
        <v>97</v>
      </c>
      <c r="K23" s="11" t="str">
        <f t="shared" si="0"/>
        <v>OK</v>
      </c>
      <c r="L23" s="13" t="str">
        <f t="shared" si="1"/>
        <v>Above threshold</v>
      </c>
    </row>
    <row r="24" spans="1:12">
      <c r="A24" s="7" t="s">
        <v>101</v>
      </c>
      <c r="B24" s="7" t="s">
        <v>102</v>
      </c>
      <c r="C24" s="7" t="s">
        <v>93</v>
      </c>
      <c r="D24" s="7" t="s">
        <v>15</v>
      </c>
      <c r="E24" s="7">
        <v>40</v>
      </c>
      <c r="F24" s="7">
        <v>12</v>
      </c>
      <c r="G24" s="7" t="s">
        <v>103</v>
      </c>
      <c r="H24" s="7" t="s">
        <v>96</v>
      </c>
      <c r="I24" s="7">
        <v>5</v>
      </c>
      <c r="J24" s="7" t="s">
        <v>97</v>
      </c>
      <c r="K24" s="11" t="str">
        <f t="shared" si="0"/>
        <v>OK</v>
      </c>
      <c r="L24" s="12" t="str">
        <f t="shared" si="1"/>
        <v>Above threshold</v>
      </c>
    </row>
    <row r="25" spans="1:12">
      <c r="A25" s="8" t="s">
        <v>104</v>
      </c>
      <c r="B25" s="8" t="s">
        <v>105</v>
      </c>
      <c r="C25" s="8" t="s">
        <v>93</v>
      </c>
      <c r="D25" s="8" t="s">
        <v>15</v>
      </c>
      <c r="E25" s="8">
        <v>30</v>
      </c>
      <c r="F25" s="8">
        <v>10</v>
      </c>
      <c r="G25" s="8" t="s">
        <v>106</v>
      </c>
      <c r="H25" s="8" t="s">
        <v>96</v>
      </c>
      <c r="I25" s="8">
        <v>5</v>
      </c>
      <c r="J25" s="8" t="s">
        <v>97</v>
      </c>
      <c r="K25" s="11" t="str">
        <f t="shared" si="0"/>
        <v>OK</v>
      </c>
      <c r="L25" s="13" t="str">
        <f t="shared" si="1"/>
        <v>Above threshold</v>
      </c>
    </row>
    <row r="26" spans="1:12">
      <c r="A26" s="7" t="s">
        <v>107</v>
      </c>
      <c r="B26" s="7" t="s">
        <v>108</v>
      </c>
      <c r="C26" s="7" t="s">
        <v>93</v>
      </c>
      <c r="D26" s="7" t="s">
        <v>94</v>
      </c>
      <c r="E26" s="7">
        <v>100</v>
      </c>
      <c r="F26" s="7">
        <v>25</v>
      </c>
      <c r="G26" s="7" t="s">
        <v>109</v>
      </c>
      <c r="H26" s="7" t="s">
        <v>96</v>
      </c>
      <c r="I26" s="7">
        <v>5</v>
      </c>
      <c r="J26" s="7" t="s">
        <v>97</v>
      </c>
      <c r="K26" s="11" t="str">
        <f t="shared" si="0"/>
        <v>OK</v>
      </c>
      <c r="L26" s="12" t="str">
        <f t="shared" si="1"/>
        <v>Above threshold</v>
      </c>
    </row>
    <row r="27" spans="1:12">
      <c r="A27" s="8" t="s">
        <v>110</v>
      </c>
      <c r="B27" s="8" t="s">
        <v>111</v>
      </c>
      <c r="C27" s="8" t="s">
        <v>112</v>
      </c>
      <c r="D27" s="8" t="s">
        <v>113</v>
      </c>
      <c r="E27" s="8">
        <v>20</v>
      </c>
      <c r="F27" s="8">
        <v>6</v>
      </c>
      <c r="G27" s="8" t="s">
        <v>114</v>
      </c>
      <c r="H27" s="8" t="s">
        <v>115</v>
      </c>
      <c r="I27" s="8">
        <v>4</v>
      </c>
      <c r="J27" s="8" t="s">
        <v>116</v>
      </c>
      <c r="K27" s="11" t="str">
        <f t="shared" si="0"/>
        <v>OK</v>
      </c>
      <c r="L27" s="13" t="str">
        <f t="shared" si="1"/>
        <v>Above threshold</v>
      </c>
    </row>
    <row r="28" spans="1:12">
      <c r="A28" s="7" t="s">
        <v>117</v>
      </c>
      <c r="B28" s="7" t="s">
        <v>118</v>
      </c>
      <c r="C28" s="7" t="s">
        <v>112</v>
      </c>
      <c r="D28" s="7" t="s">
        <v>113</v>
      </c>
      <c r="E28" s="7">
        <v>18</v>
      </c>
      <c r="F28" s="7">
        <v>6</v>
      </c>
      <c r="G28" s="7" t="s">
        <v>119</v>
      </c>
      <c r="H28" s="7" t="s">
        <v>115</v>
      </c>
      <c r="I28" s="7">
        <v>4</v>
      </c>
      <c r="J28" s="7" t="s">
        <v>116</v>
      </c>
      <c r="K28" s="11" t="str">
        <f t="shared" si="0"/>
        <v>OK</v>
      </c>
      <c r="L28" s="12" t="str">
        <f t="shared" si="1"/>
        <v>Above threshold</v>
      </c>
    </row>
    <row r="29" spans="1:12">
      <c r="A29" s="8" t="s">
        <v>120</v>
      </c>
      <c r="B29" s="8" t="s">
        <v>121</v>
      </c>
      <c r="C29" s="8" t="s">
        <v>122</v>
      </c>
      <c r="D29" s="8" t="s">
        <v>123</v>
      </c>
      <c r="E29" s="8">
        <v>35</v>
      </c>
      <c r="F29" s="8">
        <v>10</v>
      </c>
      <c r="G29" s="8" t="s">
        <v>124</v>
      </c>
      <c r="H29" s="8" t="s">
        <v>125</v>
      </c>
      <c r="I29" s="8">
        <v>3</v>
      </c>
      <c r="J29" s="8" t="s">
        <v>126</v>
      </c>
      <c r="K29" s="11" t="str">
        <f t="shared" si="0"/>
        <v>OK</v>
      </c>
      <c r="L29" s="13" t="str">
        <f t="shared" si="1"/>
        <v>Above threshold</v>
      </c>
    </row>
    <row r="30" spans="1:12">
      <c r="A30" s="7" t="s">
        <v>127</v>
      </c>
      <c r="B30" s="7" t="s">
        <v>128</v>
      </c>
      <c r="C30" s="7" t="s">
        <v>122</v>
      </c>
      <c r="D30" s="7" t="s">
        <v>15</v>
      </c>
      <c r="E30" s="7">
        <v>60</v>
      </c>
      <c r="F30" s="7">
        <v>15</v>
      </c>
      <c r="G30" s="7" t="s">
        <v>129</v>
      </c>
      <c r="H30" s="7" t="s">
        <v>125</v>
      </c>
      <c r="I30" s="7">
        <v>3</v>
      </c>
      <c r="J30" s="7" t="s">
        <v>126</v>
      </c>
      <c r="K30" s="11" t="str">
        <f t="shared" si="0"/>
        <v>OK</v>
      </c>
      <c r="L30" s="12" t="str">
        <f t="shared" si="1"/>
        <v>Above threshold</v>
      </c>
    </row>
    <row r="31" spans="1:12">
      <c r="A31" s="8" t="s">
        <v>130</v>
      </c>
      <c r="B31" s="8" t="s">
        <v>131</v>
      </c>
      <c r="C31" s="8" t="s">
        <v>122</v>
      </c>
      <c r="D31" s="8" t="s">
        <v>75</v>
      </c>
      <c r="E31" s="8">
        <v>45</v>
      </c>
      <c r="F31" s="8">
        <v>12</v>
      </c>
      <c r="G31" s="8" t="s">
        <v>132</v>
      </c>
      <c r="H31" s="8" t="s">
        <v>125</v>
      </c>
      <c r="I31" s="8">
        <v>5</v>
      </c>
      <c r="J31" s="8" t="s">
        <v>133</v>
      </c>
      <c r="K31" s="11" t="str">
        <f t="shared" si="0"/>
        <v>OK</v>
      </c>
      <c r="L31" s="13" t="str">
        <f t="shared" si="1"/>
        <v>Above threshold</v>
      </c>
    </row>
  </sheetData>
  <autoFilter xmlns:etc="http://www.wps.cn/officeDocument/2017/etCustomData" ref="A1:L31" etc:filterBottomFollowUsedRange="0">
    <extLst/>
  </autoFilter>
  <pageMargins left="0.25" right="0.25" top="1" bottom="1" header="0.5" footer="0.5"/>
  <pageSetup paperSize="1" fitToHeight="0" orientation="portrait"/>
  <headerFooter>
    <oddHeader>&amp;C&amp;B Week 1 Inventory Baseline</oddHeader>
    <oddFooter>&amp;RPage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1"/>
  <sheetViews>
    <sheetView showGridLines="0" workbookViewId="0">
      <pane ySplit="1" topLeftCell="A2" activePane="bottomLeft" state="frozen"/>
      <selection/>
      <selection pane="bottomLeft" activeCell="A1" sqref="A1"/>
    </sheetView>
  </sheetViews>
  <sheetFormatPr defaultColWidth="9" defaultRowHeight="15" outlineLevelCol="4"/>
  <cols>
    <col min="1" max="1" width="22" customWidth="1"/>
    <col min="2" max="2" width="18" customWidth="1"/>
    <col min="3" max="3" width="30" customWidth="1"/>
    <col min="4" max="4" width="23" customWidth="1"/>
    <col min="5" max="5" width="55" customWidth="1"/>
  </cols>
  <sheetData>
    <row r="1" ht="30" spans="1:5">
      <c r="A1" s="6" t="s">
        <v>2</v>
      </c>
      <c r="B1" s="6" t="s">
        <v>134</v>
      </c>
      <c r="C1" s="6" t="s">
        <v>135</v>
      </c>
      <c r="D1" s="6" t="s">
        <v>136</v>
      </c>
      <c r="E1" s="6" t="s">
        <v>137</v>
      </c>
    </row>
    <row r="2" ht="30" spans="1:5">
      <c r="A2" s="7" t="s">
        <v>14</v>
      </c>
      <c r="B2" s="7">
        <f>COUNTIF('Inventory Master'!$C$2:$C$31,A2)</f>
        <v>5</v>
      </c>
      <c r="C2" s="7">
        <f>SUMIF('Inventory Master'!$C$2:$C$31,A2,'Inventory Master'!$E$2:$E$31)</f>
        <v>166</v>
      </c>
      <c r="D2" s="7">
        <f>SUMPRODUCT(('Inventory Master'!$C$2:$C$31=A2)*('Inventory Master'!$E$2:$E$31&lt;='Inventory Master'!$F$2:$F$31))</f>
        <v>0</v>
      </c>
      <c r="E2" s="7" t="s">
        <v>138</v>
      </c>
    </row>
    <row r="3" ht="30" spans="1:5">
      <c r="A3" s="8" t="s">
        <v>34</v>
      </c>
      <c r="B3" s="8">
        <f>COUNTIF('Inventory Master'!$C$2:$C$31,A3)</f>
        <v>5</v>
      </c>
      <c r="C3" s="8">
        <f>SUMIF('Inventory Master'!$C$2:$C$31,A3,'Inventory Master'!$E$2:$E$31)</f>
        <v>248</v>
      </c>
      <c r="D3" s="8">
        <f>SUMPRODUCT(('Inventory Master'!$C$2:$C$31=A3)*('Inventory Master'!$E$2:$E$31&lt;='Inventory Master'!$F$2:$F$31))</f>
        <v>0</v>
      </c>
      <c r="E3" s="8" t="s">
        <v>138</v>
      </c>
    </row>
    <row r="4" ht="30" spans="1:5">
      <c r="A4" s="7" t="s">
        <v>54</v>
      </c>
      <c r="B4" s="7">
        <f>COUNTIF('Inventory Master'!$C$2:$C$31,A4)</f>
        <v>5</v>
      </c>
      <c r="C4" s="7">
        <f>SUMIF('Inventory Master'!$C$2:$C$31,A4,'Inventory Master'!$E$2:$E$31)</f>
        <v>368</v>
      </c>
      <c r="D4" s="7">
        <f>SUMPRODUCT(('Inventory Master'!$C$2:$C$31=A4)*('Inventory Master'!$E$2:$E$31&lt;='Inventory Master'!$F$2:$F$31))</f>
        <v>0</v>
      </c>
      <c r="E4" s="7" t="s">
        <v>138</v>
      </c>
    </row>
    <row r="5" ht="30" spans="1:5">
      <c r="A5" s="8" t="s">
        <v>74</v>
      </c>
      <c r="B5" s="8">
        <f>COUNTIF('Inventory Master'!$C$2:$C$31,A5)</f>
        <v>5</v>
      </c>
      <c r="C5" s="8">
        <f>SUMIF('Inventory Master'!$C$2:$C$31,A5,'Inventory Master'!$E$2:$E$31)</f>
        <v>395</v>
      </c>
      <c r="D5" s="8">
        <f>SUMPRODUCT(('Inventory Master'!$C$2:$C$31=A5)*('Inventory Master'!$E$2:$E$31&lt;='Inventory Master'!$F$2:$F$31))</f>
        <v>0</v>
      </c>
      <c r="E5" s="8" t="s">
        <v>138</v>
      </c>
    </row>
    <row r="6" ht="30" spans="1:5">
      <c r="A6" s="7" t="s">
        <v>93</v>
      </c>
      <c r="B6" s="7">
        <f>COUNTIF('Inventory Master'!$C$2:$C$31,A6)</f>
        <v>5</v>
      </c>
      <c r="C6" s="7">
        <f>SUMIF('Inventory Master'!$C$2:$C$31,A6,'Inventory Master'!$E$2:$E$31)</f>
        <v>270</v>
      </c>
      <c r="D6" s="7">
        <f>SUMPRODUCT(('Inventory Master'!$C$2:$C$31=A6)*('Inventory Master'!$E$2:$E$31&lt;='Inventory Master'!$F$2:$F$31))</f>
        <v>0</v>
      </c>
      <c r="E6" s="7" t="s">
        <v>138</v>
      </c>
    </row>
    <row r="7" ht="30" spans="1:5">
      <c r="A7" s="8" t="s">
        <v>112</v>
      </c>
      <c r="B7" s="8">
        <f>COUNTIF('Inventory Master'!$C$2:$C$31,A7)</f>
        <v>2</v>
      </c>
      <c r="C7" s="8">
        <f>SUMIF('Inventory Master'!$C$2:$C$31,A7,'Inventory Master'!$E$2:$E$31)</f>
        <v>38</v>
      </c>
      <c r="D7" s="8">
        <f>SUMPRODUCT(('Inventory Master'!$C$2:$C$31=A7)*('Inventory Master'!$E$2:$E$31&lt;='Inventory Master'!$F$2:$F$31))</f>
        <v>0</v>
      </c>
      <c r="E7" s="8" t="s">
        <v>138</v>
      </c>
    </row>
    <row r="8" ht="30" spans="1:5">
      <c r="A8" s="7" t="s">
        <v>122</v>
      </c>
      <c r="B8" s="7">
        <f>COUNTIF('Inventory Master'!$C$2:$C$31,A8)</f>
        <v>3</v>
      </c>
      <c r="C8" s="7">
        <f>SUMIF('Inventory Master'!$C$2:$C$31,A8,'Inventory Master'!$E$2:$E$31)</f>
        <v>140</v>
      </c>
      <c r="D8" s="7">
        <f>SUMPRODUCT(('Inventory Master'!$C$2:$C$31=A8)*('Inventory Master'!$E$2:$E$31&lt;='Inventory Master'!$F$2:$F$31))</f>
        <v>0</v>
      </c>
      <c r="E8" s="7" t="s">
        <v>138</v>
      </c>
    </row>
    <row r="11" ht="38" customHeight="1" spans="1:5">
      <c r="A11" s="9" t="s">
        <v>139</v>
      </c>
      <c r="B11" s="5" t="s">
        <v>140</v>
      </c>
    </row>
  </sheetData>
  <mergeCells count="1">
    <mergeCell ref="B11:E11"/>
  </mergeCells>
  <pageMargins left="0.25" right="0.25" top="1" bottom="1" header="0.5" footer="0.5"/>
  <pageSetup paperSize="1" fitToHeight="0" orientation="portrait"/>
  <headerFooter>
    <oddHeader>&amp;C&amp;B Week 1 Inventory Baseline</oddHeader>
    <oddFooter>&amp;RPage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8"/>
  <sheetViews>
    <sheetView showGridLines="0" topLeftCell="B1" workbookViewId="0">
      <pane ySplit="1" topLeftCell="A2" activePane="bottomLeft" state="frozen"/>
      <selection/>
      <selection pane="bottomLeft" activeCell="C3" sqref="C3"/>
    </sheetView>
  </sheetViews>
  <sheetFormatPr defaultColWidth="9" defaultRowHeight="15" outlineLevelRow="7" outlineLevelCol="4"/>
  <cols>
    <col min="1" max="1" width="22" customWidth="1"/>
    <col min="2" max="2" width="42" customWidth="1"/>
    <col min="3" max="3" width="46" customWidth="1"/>
    <col min="4" max="4" width="56" customWidth="1"/>
    <col min="5" max="5" width="24" customWidth="1"/>
  </cols>
  <sheetData>
    <row r="1" spans="1:5">
      <c r="A1" s="6" t="s">
        <v>2</v>
      </c>
      <c r="B1" s="6" t="s">
        <v>141</v>
      </c>
      <c r="C1" s="6" t="s">
        <v>142</v>
      </c>
      <c r="D1" s="6" t="s">
        <v>143</v>
      </c>
      <c r="E1" s="6" t="s">
        <v>144</v>
      </c>
    </row>
    <row r="2" ht="62" customHeight="1" spans="1:5">
      <c r="A2" s="3" t="s">
        <v>14</v>
      </c>
      <c r="B2" s="3" t="s">
        <v>145</v>
      </c>
      <c r="C2" s="3" t="s">
        <v>146</v>
      </c>
      <c r="D2" s="3" t="s">
        <v>147</v>
      </c>
      <c r="E2" s="3" t="s">
        <v>148</v>
      </c>
    </row>
    <row r="3" ht="62" customHeight="1" spans="1:5">
      <c r="A3" s="5" t="s">
        <v>34</v>
      </c>
      <c r="B3" s="5" t="s">
        <v>149</v>
      </c>
      <c r="C3" s="5" t="s">
        <v>150</v>
      </c>
      <c r="D3" s="5" t="s">
        <v>151</v>
      </c>
      <c r="E3" s="5" t="s">
        <v>152</v>
      </c>
    </row>
    <row r="4" ht="62" customHeight="1" spans="1:5">
      <c r="A4" s="3" t="s">
        <v>54</v>
      </c>
      <c r="B4" s="3" t="s">
        <v>153</v>
      </c>
      <c r="C4" s="3" t="s">
        <v>154</v>
      </c>
      <c r="D4" s="3" t="s">
        <v>155</v>
      </c>
      <c r="E4" s="3" t="s">
        <v>152</v>
      </c>
    </row>
    <row r="5" ht="62" customHeight="1" spans="1:5">
      <c r="A5" s="5" t="s">
        <v>74</v>
      </c>
      <c r="B5" s="5" t="s">
        <v>156</v>
      </c>
      <c r="C5" s="5" t="s">
        <v>157</v>
      </c>
      <c r="D5" s="5" t="s">
        <v>158</v>
      </c>
      <c r="E5" s="5" t="s">
        <v>159</v>
      </c>
    </row>
    <row r="6" ht="62" customHeight="1" spans="1:5">
      <c r="A6" s="3" t="s">
        <v>93</v>
      </c>
      <c r="B6" s="3" t="s">
        <v>160</v>
      </c>
      <c r="C6" s="3" t="s">
        <v>161</v>
      </c>
      <c r="D6" s="3" t="s">
        <v>162</v>
      </c>
      <c r="E6" s="3" t="s">
        <v>163</v>
      </c>
    </row>
    <row r="7" ht="62" customHeight="1" spans="1:5">
      <c r="A7" s="5" t="s">
        <v>112</v>
      </c>
      <c r="B7" s="5" t="s">
        <v>164</v>
      </c>
      <c r="C7" s="5" t="s">
        <v>165</v>
      </c>
      <c r="D7" s="5" t="s">
        <v>166</v>
      </c>
      <c r="E7" s="5" t="s">
        <v>152</v>
      </c>
    </row>
    <row r="8" ht="62" customHeight="1" spans="1:5">
      <c r="A8" s="3" t="s">
        <v>122</v>
      </c>
      <c r="B8" s="3" t="s">
        <v>167</v>
      </c>
      <c r="C8" s="3" t="s">
        <v>168</v>
      </c>
      <c r="D8" s="3" t="s">
        <v>169</v>
      </c>
      <c r="E8" s="3" t="s">
        <v>152</v>
      </c>
    </row>
  </sheetData>
  <pageMargins left="0.25" right="0.25" top="1" bottom="1" header="0.5" footer="0.5"/>
  <pageSetup paperSize="1" fitToHeight="0" orientation="portrait"/>
  <headerFooter>
    <oddHeader>&amp;C&amp;B Week 1 Inventory Baseline</oddHeader>
    <oddFooter>&amp;RPage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9"/>
  <sheetViews>
    <sheetView showGridLines="0" workbookViewId="0">
      <pane ySplit="1" topLeftCell="A7" activePane="bottomLeft" state="frozen"/>
      <selection/>
      <selection pane="bottomLeft" activeCell="B9" sqref="B9"/>
    </sheetView>
  </sheetViews>
  <sheetFormatPr defaultColWidth="9" defaultRowHeight="15" outlineLevelCol="1"/>
  <cols>
    <col min="1" max="1" width="28" customWidth="1"/>
    <col min="2" max="2" width="115" customWidth="1"/>
  </cols>
  <sheetData>
    <row r="1" spans="1:2">
      <c r="A1" s="1" t="s">
        <v>170</v>
      </c>
      <c r="B1" s="1" t="s">
        <v>171</v>
      </c>
    </row>
    <row r="2" ht="45" customHeight="1" spans="1:2">
      <c r="A2" s="2" t="s">
        <v>172</v>
      </c>
      <c r="B2" s="3" t="s">
        <v>173</v>
      </c>
    </row>
    <row r="3" ht="45" customHeight="1" spans="1:2">
      <c r="A3" s="4" t="s">
        <v>174</v>
      </c>
      <c r="B3" s="5" t="s">
        <v>175</v>
      </c>
    </row>
    <row r="4" ht="45" customHeight="1" spans="1:2">
      <c r="A4" s="2" t="s">
        <v>176</v>
      </c>
      <c r="B4" s="3" t="s">
        <v>177</v>
      </c>
    </row>
    <row r="5" ht="45" customHeight="1" spans="1:2">
      <c r="A5" s="4" t="s">
        <v>178</v>
      </c>
      <c r="B5" s="5" t="s">
        <v>179</v>
      </c>
    </row>
    <row r="6" ht="45" customHeight="1" spans="1:2">
      <c r="A6" s="2" t="s">
        <v>180</v>
      </c>
      <c r="B6" s="3" t="s">
        <v>181</v>
      </c>
    </row>
    <row r="7" ht="45" customHeight="1" spans="1:2">
      <c r="A7" s="4" t="s">
        <v>182</v>
      </c>
      <c r="B7" s="5" t="s">
        <v>183</v>
      </c>
    </row>
    <row r="8" ht="45" customHeight="1" spans="1:2">
      <c r="A8" s="2" t="s">
        <v>184</v>
      </c>
      <c r="B8" s="3" t="s">
        <v>185</v>
      </c>
    </row>
    <row r="9" ht="45" customHeight="1" spans="1:2">
      <c r="A9" s="4" t="s">
        <v>186</v>
      </c>
      <c r="B9" s="5" t="s">
        <v>187</v>
      </c>
    </row>
  </sheetData>
  <pageMargins left="0.25" right="0.25" top="1" bottom="1" header="0.5" footer="0.5"/>
  <pageSetup paperSize="1" fitToHeight="0" orientation="portrait"/>
  <headerFooter>
    <oddHeader>&amp;C&amp;B Week 1 Inventory Baseline</oddHead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Inventory Master</vt:lpstr>
      <vt:lpstr>Category Summary</vt:lpstr>
      <vt:lpstr>Category Baselines</vt:lpstr>
      <vt:lpstr>Methodology &amp; 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2026-10-11T07:48:00Z</dcterms:created>
  <dcterms:modified xsi:type="dcterms:W3CDTF">2026-10-11T07:28:54Z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52DDF60B9BF0401BBB01ADE26B0C4957_12</vt:lpwstr>
  </property>
</Properties>
</file>